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ar\Desktop\5a\"/>
    </mc:Choice>
  </mc:AlternateContent>
  <xr:revisionPtr revIDLastSave="0" documentId="13_ncr:1_{7388B33C-7888-416C-88CC-980B18C3E06C}" xr6:coauthVersionLast="47" xr6:coauthVersionMax="47" xr10:uidLastSave="{00000000-0000-0000-0000-000000000000}"/>
  <bookViews>
    <workbookView xWindow="-120" yWindow="-120" windowWidth="29040" windowHeight="15720" xr2:uid="{987E768C-5015-4061-B4D0-3F66C819B989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6" i="1"/>
  <c r="E39" i="1"/>
  <c r="C7" i="1"/>
  <c r="C11" i="1"/>
  <c r="D7" i="1"/>
  <c r="C8" i="1"/>
  <c r="C9" i="1"/>
  <c r="B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B8" i="1"/>
  <c r="E46" i="1"/>
  <c r="F46" i="1"/>
  <c r="E47" i="1"/>
  <c r="F47" i="1"/>
  <c r="E48" i="1"/>
  <c r="F48" i="1"/>
  <c r="F49" i="1"/>
  <c r="F50" i="1"/>
  <c r="H17" i="1"/>
  <c r="H21" i="1"/>
  <c r="I17" i="1"/>
  <c r="H18" i="1"/>
  <c r="H19" i="1"/>
  <c r="H20" i="1"/>
  <c r="G20" i="1"/>
  <c r="E33" i="1"/>
  <c r="F33" i="1"/>
  <c r="F34" i="1"/>
  <c r="F26" i="1"/>
  <c r="C17" i="1"/>
  <c r="C21" i="1"/>
  <c r="D17" i="1"/>
  <c r="C18" i="1"/>
  <c r="B18" i="1"/>
  <c r="F27" i="1"/>
  <c r="F28" i="1"/>
  <c r="F53" i="1"/>
  <c r="C19" i="1"/>
  <c r="C20" i="1"/>
  <c r="B20" i="1"/>
  <c r="G19" i="1"/>
  <c r="B19" i="1"/>
  <c r="G18" i="1"/>
  <c r="H11" i="1"/>
  <c r="H7" i="1"/>
  <c r="I7" i="1"/>
  <c r="H8" i="1"/>
  <c r="H9" i="1"/>
  <c r="H10" i="1"/>
  <c r="G10" i="1"/>
  <c r="C10" i="1"/>
  <c r="B10" i="1"/>
  <c r="G9" i="1"/>
  <c r="G8" i="1"/>
</calcChain>
</file>

<file path=xl/sharedStrings.xml><?xml version="1.0" encoding="utf-8"?>
<sst xmlns="http://schemas.openxmlformats.org/spreadsheetml/2006/main" count="111" uniqueCount="51">
  <si>
    <t>Valores a capturar</t>
  </si>
  <si>
    <t>VS</t>
  </si>
  <si>
    <t>Very small</t>
  </si>
  <si>
    <t xml:space="preserve"> (métodos, no clases)</t>
  </si>
  <si>
    <t>Calculate the types with Fuzzy Logic Method</t>
  </si>
  <si>
    <t>VL</t>
  </si>
  <si>
    <t>Very large</t>
  </si>
  <si>
    <t>Calculation</t>
  </si>
  <si>
    <t>Cálculos matemáticos</t>
  </si>
  <si>
    <t>Data</t>
  </si>
  <si>
    <t>Base de datos</t>
  </si>
  <si>
    <t>LOCs</t>
  </si>
  <si>
    <t>Log</t>
  </si>
  <si>
    <t>Factor</t>
  </si>
  <si>
    <t>S</t>
  </si>
  <si>
    <t>M</t>
  </si>
  <si>
    <t>L</t>
  </si>
  <si>
    <t>IO</t>
  </si>
  <si>
    <t>Lectura y escritura</t>
  </si>
  <si>
    <t>Logic</t>
  </si>
  <si>
    <t>Estructura lógica principal</t>
  </si>
  <si>
    <t>Estimated Size, REUSE</t>
  </si>
  <si>
    <t>Object</t>
  </si>
  <si>
    <t>Description</t>
  </si>
  <si>
    <t>Size</t>
  </si>
  <si>
    <t>Number</t>
  </si>
  <si>
    <t>LOC</t>
  </si>
  <si>
    <t>Total</t>
  </si>
  <si>
    <t>App</t>
  </si>
  <si>
    <t>main</t>
  </si>
  <si>
    <t>Output</t>
  </si>
  <si>
    <t>writeData</t>
  </si>
  <si>
    <t>Reuse TOTAL LOC</t>
  </si>
  <si>
    <t>Estimated Size, BASE</t>
  </si>
  <si>
    <t>logic1a</t>
  </si>
  <si>
    <t>Base TOTAL LOC</t>
  </si>
  <si>
    <t>Estimated Size, ADD</t>
  </si>
  <si>
    <t>SimpsonIntegration</t>
  </si>
  <si>
    <t>computeW</t>
  </si>
  <si>
    <t>computeXi</t>
  </si>
  <si>
    <t>computeFirstBaseTerms</t>
  </si>
  <si>
    <t>computeExponent</t>
  </si>
  <si>
    <t>computeCoefficient</t>
  </si>
  <si>
    <t>computeFxi</t>
  </si>
  <si>
    <t>computeFinalTerms</t>
  </si>
  <si>
    <t>computeFinalValue</t>
  </si>
  <si>
    <t>GammaFunction</t>
  </si>
  <si>
    <t>computeIntegerGamma</t>
  </si>
  <si>
    <t>computeRealGamma</t>
  </si>
  <si>
    <t>TOTAL LOC estimated</t>
  </si>
  <si>
    <t>TOTAL 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</si>
</sst>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FF0000"/>
      <name val="Arial"/>
    </font>
    <font>
      <sz val="10"/>
      <color theme="0"/>
      <name val="Arial"/>
    </font>
    <font>
      <b/>
      <sz val="10"/>
      <color theme="0"/>
      <name val="Arial"/>
      <family val="2"/>
    </font>
    <font>
      <sz val="10"/>
      <color indexed="9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00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3" fillId="2" borderId="1" xfId="0" applyFont="1" applyFill="1" applyBorder="1"/>
    <xf numFmtId="0" fontId="4" fillId="3" borderId="1" xfId="0" applyFont="1" applyFill="1" applyBorder="1"/>
    <xf numFmtId="0" fontId="3" fillId="4" borderId="6" xfId="0" applyFont="1" applyFill="1" applyBorder="1"/>
    <xf numFmtId="0" fontId="3" fillId="3" borderId="1" xfId="0" applyFont="1" applyFill="1" applyBorder="1"/>
    <xf numFmtId="0" fontId="0" fillId="0" borderId="7" xfId="0" applyBorder="1"/>
    <xf numFmtId="0" fontId="3" fillId="2" borderId="8" xfId="0" applyFont="1" applyFill="1" applyBorder="1"/>
    <xf numFmtId="0" fontId="4" fillId="3" borderId="8" xfId="0" applyFont="1" applyFill="1" applyBorder="1"/>
    <xf numFmtId="0" fontId="0" fillId="0" borderId="9" xfId="0" applyBorder="1"/>
    <xf numFmtId="0" fontId="3" fillId="3" borderId="8" xfId="0" applyFont="1" applyFill="1" applyBorder="1"/>
    <xf numFmtId="0" fontId="1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1" fillId="5" borderId="1" xfId="0" applyFont="1" applyFill="1" applyBorder="1"/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6" borderId="2" xfId="0" applyFont="1" applyFill="1" applyBorder="1"/>
    <xf numFmtId="0" fontId="5" fillId="6" borderId="3" xfId="0" applyFont="1" applyFill="1" applyBorder="1"/>
    <xf numFmtId="0" fontId="5" fillId="6" borderId="4" xfId="0" applyFont="1" applyFill="1" applyBorder="1"/>
    <xf numFmtId="0" fontId="0" fillId="0" borderId="8" xfId="0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5" fillId="6" borderId="5" xfId="0" applyFont="1" applyFill="1" applyBorder="1"/>
    <xf numFmtId="0" fontId="5" fillId="6" borderId="6" xfId="0" applyFont="1" applyFill="1" applyBorder="1"/>
    <xf numFmtId="0" fontId="0" fillId="0" borderId="16" xfId="0" applyBorder="1"/>
    <xf numFmtId="0" fontId="0" fillId="0" borderId="17" xfId="0" applyBorder="1"/>
    <xf numFmtId="0" fontId="3" fillId="7" borderId="10" xfId="0" applyFont="1" applyFill="1" applyBorder="1"/>
    <xf numFmtId="0" fontId="6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4A12-526B-4AD6-8C78-37B9256834DB}">
  <dimension ref="A2:M53"/>
  <sheetViews>
    <sheetView tabSelected="1" workbookViewId="0">
      <selection activeCell="E33" sqref="E33"/>
    </sheetView>
  </sheetViews>
  <sheetFormatPr baseColWidth="10" defaultRowHeight="15" x14ac:dyDescent="0.25"/>
  <cols>
    <col min="1" max="1" width="19.28515625" customWidth="1"/>
    <col min="2" max="2" width="29.5703125" customWidth="1"/>
    <col min="3" max="3" width="28" customWidth="1"/>
    <col min="4" max="4" width="19.42578125" customWidth="1"/>
    <col min="5" max="5" width="29.28515625" customWidth="1"/>
    <col min="6" max="6" width="17" customWidth="1"/>
    <col min="7" max="7" width="15" customWidth="1"/>
    <col min="8" max="8" width="14.28515625" customWidth="1"/>
    <col min="9" max="9" width="14.5703125" customWidth="1"/>
  </cols>
  <sheetData>
    <row r="2" spans="1:13" x14ac:dyDescent="0.25">
      <c r="C2" s="1" t="s">
        <v>0</v>
      </c>
      <c r="D2" s="2"/>
      <c r="K2" s="3" t="s">
        <v>1</v>
      </c>
      <c r="L2" s="3" t="s">
        <v>2</v>
      </c>
      <c r="M2" s="3" t="s">
        <v>3</v>
      </c>
    </row>
    <row r="3" spans="1:13" x14ac:dyDescent="0.25">
      <c r="A3" s="4" t="s">
        <v>4</v>
      </c>
      <c r="B3" s="4"/>
      <c r="K3" s="3" t="s">
        <v>5</v>
      </c>
      <c r="L3" s="3" t="s">
        <v>6</v>
      </c>
      <c r="M3" s="3"/>
    </row>
    <row r="4" spans="1:13" ht="15.75" thickBot="1" x14ac:dyDescent="0.3">
      <c r="A4" s="5"/>
    </row>
    <row r="5" spans="1:13" x14ac:dyDescent="0.25">
      <c r="A5" s="6" t="s">
        <v>7</v>
      </c>
      <c r="B5" s="7" t="s">
        <v>8</v>
      </c>
      <c r="C5" s="8"/>
      <c r="D5" s="9"/>
      <c r="F5" s="6" t="s">
        <v>9</v>
      </c>
      <c r="G5" s="7" t="s">
        <v>10</v>
      </c>
      <c r="H5" s="8"/>
      <c r="I5" s="9"/>
    </row>
    <row r="6" spans="1:13" x14ac:dyDescent="0.25">
      <c r="A6" s="10"/>
      <c r="B6" s="11" t="s">
        <v>11</v>
      </c>
      <c r="C6" s="11" t="s">
        <v>12</v>
      </c>
      <c r="D6" s="12" t="s">
        <v>13</v>
      </c>
      <c r="F6" s="10"/>
      <c r="G6" s="11" t="s">
        <v>11</v>
      </c>
      <c r="H6" s="11" t="s">
        <v>12</v>
      </c>
      <c r="I6" s="12" t="s">
        <v>13</v>
      </c>
    </row>
    <row r="7" spans="1:13" x14ac:dyDescent="0.25">
      <c r="A7" s="13" t="s">
        <v>1</v>
      </c>
      <c r="B7" s="14">
        <v>5</v>
      </c>
      <c r="C7" s="15">
        <f>LOG10(B7)</f>
        <v>0.69897000433601886</v>
      </c>
      <c r="D7" s="16">
        <f>(C11-C7)/4</f>
        <v>0.1505149978319906</v>
      </c>
      <c r="F7" s="13" t="s">
        <v>1</v>
      </c>
      <c r="G7" s="14">
        <v>3</v>
      </c>
      <c r="H7" s="17">
        <f>LOG10(G7)</f>
        <v>0.47712125471966244</v>
      </c>
      <c r="I7" s="16">
        <f>(H11-H7)/4</f>
        <v>0.2344630233127889</v>
      </c>
    </row>
    <row r="8" spans="1:13" x14ac:dyDescent="0.25">
      <c r="A8" s="13" t="s">
        <v>14</v>
      </c>
      <c r="B8" s="11">
        <f>10^C8</f>
        <v>7.0710678118654782</v>
      </c>
      <c r="C8" s="11">
        <f>C7+D7</f>
        <v>0.84948500216800948</v>
      </c>
      <c r="D8" s="12"/>
      <c r="F8" s="13" t="s">
        <v>14</v>
      </c>
      <c r="G8" s="11">
        <f xml:space="preserve"> 10^H8</f>
        <v>5.1473568556088614</v>
      </c>
      <c r="H8" s="11">
        <f>H7+I7</f>
        <v>0.71158427803245128</v>
      </c>
      <c r="I8" s="12"/>
    </row>
    <row r="9" spans="1:13" x14ac:dyDescent="0.25">
      <c r="A9" s="13" t="s">
        <v>15</v>
      </c>
      <c r="B9" s="11">
        <f>10^C9</f>
        <v>10</v>
      </c>
      <c r="C9" s="11">
        <f>C8+D7</f>
        <v>1</v>
      </c>
      <c r="D9" s="12"/>
      <c r="F9" s="13" t="s">
        <v>15</v>
      </c>
      <c r="G9" s="11">
        <f xml:space="preserve"> 10^H9</f>
        <v>8.831760866327846</v>
      </c>
      <c r="H9" s="11">
        <f>H8+I7</f>
        <v>0.94604730134524018</v>
      </c>
      <c r="I9" s="12"/>
    </row>
    <row r="10" spans="1:13" x14ac:dyDescent="0.25">
      <c r="A10" s="13" t="s">
        <v>16</v>
      </c>
      <c r="B10" s="11">
        <f>10^C10</f>
        <v>14.142135623730955</v>
      </c>
      <c r="C10" s="11">
        <f>C9+D7</f>
        <v>1.1505149978319906</v>
      </c>
      <c r="D10" s="12"/>
      <c r="F10" s="13" t="s">
        <v>16</v>
      </c>
      <c r="G10" s="11">
        <f xml:space="preserve"> 10^H10</f>
        <v>15.153408280796899</v>
      </c>
      <c r="H10" s="11">
        <f>H9+I7</f>
        <v>1.1805103246580291</v>
      </c>
      <c r="I10" s="12"/>
    </row>
    <row r="11" spans="1:13" ht="15.75" thickBot="1" x14ac:dyDescent="0.3">
      <c r="A11" s="18" t="s">
        <v>5</v>
      </c>
      <c r="B11" s="19">
        <v>20</v>
      </c>
      <c r="C11" s="20">
        <f>LOG10(B11)</f>
        <v>1.3010299956639813</v>
      </c>
      <c r="D11" s="21"/>
      <c r="F11" s="18" t="s">
        <v>5</v>
      </c>
      <c r="G11" s="19">
        <v>26</v>
      </c>
      <c r="H11" s="22">
        <f>LOG10(G11)</f>
        <v>1.414973347970818</v>
      </c>
      <c r="I11" s="21"/>
    </row>
    <row r="14" spans="1:13" ht="15.75" thickBot="1" x14ac:dyDescent="0.3"/>
    <row r="15" spans="1:13" x14ac:dyDescent="0.25">
      <c r="A15" s="6" t="s">
        <v>17</v>
      </c>
      <c r="B15" s="7" t="s">
        <v>18</v>
      </c>
      <c r="C15" s="8"/>
      <c r="D15" s="9"/>
      <c r="F15" s="6" t="s">
        <v>19</v>
      </c>
      <c r="G15" s="7" t="s">
        <v>20</v>
      </c>
      <c r="H15" s="8"/>
      <c r="I15" s="9"/>
    </row>
    <row r="16" spans="1:13" x14ac:dyDescent="0.25">
      <c r="A16" s="10"/>
      <c r="B16" s="11" t="s">
        <v>11</v>
      </c>
      <c r="C16" s="11" t="s">
        <v>12</v>
      </c>
      <c r="D16" s="12" t="s">
        <v>13</v>
      </c>
      <c r="F16" s="10"/>
      <c r="G16" s="11" t="s">
        <v>11</v>
      </c>
      <c r="H16" s="11" t="s">
        <v>12</v>
      </c>
      <c r="I16" s="12" t="s">
        <v>13</v>
      </c>
    </row>
    <row r="17" spans="1:9" x14ac:dyDescent="0.25">
      <c r="A17" s="13" t="s">
        <v>1</v>
      </c>
      <c r="B17" s="14">
        <v>6</v>
      </c>
      <c r="C17" s="17">
        <f>LOG10(B17)</f>
        <v>0.77815125038364363</v>
      </c>
      <c r="D17" s="16">
        <f>(C21-C17)/4</f>
        <v>4.4022814763920309E-2</v>
      </c>
      <c r="F17" s="13" t="s">
        <v>1</v>
      </c>
      <c r="G17" s="14">
        <v>4</v>
      </c>
      <c r="H17" s="17">
        <f>LOG10(G17)</f>
        <v>0.6020599913279624</v>
      </c>
      <c r="I17" s="16">
        <f>(H21-H17)/4</f>
        <v>0.24153543318475815</v>
      </c>
    </row>
    <row r="18" spans="1:9" x14ac:dyDescent="0.25">
      <c r="A18" s="13" t="s">
        <v>14</v>
      </c>
      <c r="B18" s="11">
        <f xml:space="preserve"> 10^C18</f>
        <v>6.6400915182019311</v>
      </c>
      <c r="C18" s="11">
        <f>C17+D17</f>
        <v>0.82217406514756397</v>
      </c>
      <c r="D18" s="12"/>
      <c r="F18" s="13" t="s">
        <v>14</v>
      </c>
      <c r="G18" s="11">
        <f xml:space="preserve"> 10^H18</f>
        <v>6.9758225495195747</v>
      </c>
      <c r="H18" s="11">
        <f>H17+I17</f>
        <v>0.84359542451272052</v>
      </c>
      <c r="I18" s="12"/>
    </row>
    <row r="19" spans="1:9" x14ac:dyDescent="0.25">
      <c r="A19" s="13" t="s">
        <v>15</v>
      </c>
      <c r="B19" s="11">
        <f xml:space="preserve"> 10^C19</f>
        <v>7.3484692283495363</v>
      </c>
      <c r="C19" s="11">
        <f>C18+D17</f>
        <v>0.86619687991148431</v>
      </c>
      <c r="D19" s="12"/>
      <c r="F19" s="13" t="s">
        <v>15</v>
      </c>
      <c r="G19" s="11">
        <f xml:space="preserve"> 10^H19</f>
        <v>12.165525060596442</v>
      </c>
      <c r="H19" s="11">
        <f>H18+I17</f>
        <v>1.0851308576974787</v>
      </c>
      <c r="I19" s="12"/>
    </row>
    <row r="20" spans="1:9" x14ac:dyDescent="0.25">
      <c r="A20" s="13" t="s">
        <v>16</v>
      </c>
      <c r="B20" s="11">
        <f xml:space="preserve"> 10^C20</f>
        <v>8.1324180324886068</v>
      </c>
      <c r="C20" s="11">
        <f>C19+D17</f>
        <v>0.91021969467540464</v>
      </c>
      <c r="D20" s="12"/>
      <c r="F20" s="13" t="s">
        <v>16</v>
      </c>
      <c r="G20" s="11">
        <f xml:space="preserve"> 10^H20</f>
        <v>21.216136011113541</v>
      </c>
      <c r="H20" s="11">
        <f>H19+I17</f>
        <v>1.3266662908822369</v>
      </c>
      <c r="I20" s="12"/>
    </row>
    <row r="21" spans="1:9" ht="15.75" thickBot="1" x14ac:dyDescent="0.3">
      <c r="A21" s="18" t="s">
        <v>5</v>
      </c>
      <c r="B21" s="19">
        <v>9</v>
      </c>
      <c r="C21" s="22">
        <f>LOG10(B21)</f>
        <v>0.95424250943932487</v>
      </c>
      <c r="D21" s="21"/>
      <c r="F21" s="18" t="s">
        <v>5</v>
      </c>
      <c r="G21" s="19">
        <v>37</v>
      </c>
      <c r="H21" s="22">
        <f>LOG10(G21)</f>
        <v>1.568201724066995</v>
      </c>
      <c r="I21" s="21"/>
    </row>
    <row r="23" spans="1:9" x14ac:dyDescent="0.25">
      <c r="A23" s="23" t="s">
        <v>21</v>
      </c>
      <c r="B23" s="23"/>
      <c r="C23" s="11"/>
      <c r="D23" s="11"/>
      <c r="E23" s="11"/>
      <c r="F23" s="11"/>
    </row>
    <row r="24" spans="1:9" x14ac:dyDescent="0.25">
      <c r="A24" s="11"/>
      <c r="B24" s="11"/>
      <c r="C24" s="11"/>
      <c r="D24" s="11"/>
      <c r="E24" s="11"/>
      <c r="F24" s="11"/>
    </row>
    <row r="25" spans="1:9" x14ac:dyDescent="0.25">
      <c r="A25" s="24" t="s">
        <v>22</v>
      </c>
      <c r="B25" s="24" t="s">
        <v>23</v>
      </c>
      <c r="C25" s="24" t="s">
        <v>24</v>
      </c>
      <c r="D25" s="24" t="s">
        <v>25</v>
      </c>
      <c r="E25" s="24" t="s">
        <v>26</v>
      </c>
      <c r="F25" s="24" t="s">
        <v>27</v>
      </c>
    </row>
    <row r="26" spans="1:9" x14ac:dyDescent="0.25">
      <c r="A26" s="11" t="s">
        <v>28</v>
      </c>
      <c r="B26" s="11" t="s">
        <v>29</v>
      </c>
      <c r="C26" s="11" t="s">
        <v>1</v>
      </c>
      <c r="D26" s="11">
        <v>1</v>
      </c>
      <c r="E26" s="11">
        <f>VLOOKUP(C26, $F$17:$G$21, 2, FALSE)</f>
        <v>4</v>
      </c>
      <c r="F26" s="11">
        <f xml:space="preserve"> E26*D26</f>
        <v>4</v>
      </c>
    </row>
    <row r="27" spans="1:9" x14ac:dyDescent="0.25">
      <c r="A27" s="11" t="s">
        <v>30</v>
      </c>
      <c r="B27" s="11" t="s">
        <v>31</v>
      </c>
      <c r="C27" s="11" t="s">
        <v>14</v>
      </c>
      <c r="D27" s="11">
        <v>1</v>
      </c>
      <c r="E27" s="11">
        <f>VLOOKUP(C27, $F$17:$G$21, 2, FALSE)</f>
        <v>6.9758225495195747</v>
      </c>
      <c r="F27" s="11">
        <f>E27*D27</f>
        <v>6.9758225495195747</v>
      </c>
    </row>
    <row r="28" spans="1:9" x14ac:dyDescent="0.25">
      <c r="A28" s="11"/>
      <c r="B28" s="11"/>
      <c r="C28" s="11"/>
      <c r="D28" s="11"/>
      <c r="E28" s="25" t="s">
        <v>32</v>
      </c>
      <c r="F28" s="25">
        <f xml:space="preserve"> SUM(F26:F27)</f>
        <v>10.975822549519574</v>
      </c>
    </row>
    <row r="29" spans="1:9" ht="15.75" thickBot="1" x14ac:dyDescent="0.3"/>
    <row r="30" spans="1:9" ht="15.75" thickBot="1" x14ac:dyDescent="0.3">
      <c r="A30" s="26" t="s">
        <v>33</v>
      </c>
      <c r="B30" s="27"/>
      <c r="C30" s="28"/>
      <c r="D30" s="8"/>
      <c r="E30" s="8"/>
      <c r="F30" s="8"/>
    </row>
    <row r="31" spans="1:9" ht="15.75" thickBot="1" x14ac:dyDescent="0.3">
      <c r="A31" s="29"/>
      <c r="B31" s="30"/>
      <c r="C31" s="31"/>
      <c r="D31" s="31"/>
      <c r="E31" s="31"/>
      <c r="F31" s="31"/>
    </row>
    <row r="32" spans="1:9" x14ac:dyDescent="0.25">
      <c r="A32" s="32" t="s">
        <v>22</v>
      </c>
      <c r="B32" s="33" t="s">
        <v>23</v>
      </c>
      <c r="C32" s="33" t="s">
        <v>24</v>
      </c>
      <c r="D32" s="33" t="s">
        <v>25</v>
      </c>
      <c r="E32" s="33" t="s">
        <v>26</v>
      </c>
      <c r="F32" s="34" t="s">
        <v>27</v>
      </c>
    </row>
    <row r="33" spans="1:6" x14ac:dyDescent="0.25">
      <c r="A33" s="13" t="s">
        <v>19</v>
      </c>
      <c r="B33" s="11" t="s">
        <v>34</v>
      </c>
      <c r="C33" s="11" t="s">
        <v>16</v>
      </c>
      <c r="D33" s="11">
        <v>1</v>
      </c>
      <c r="E33" s="11">
        <f>G20</f>
        <v>21.216136011113541</v>
      </c>
      <c r="F33" s="12">
        <f>D33*E33</f>
        <v>21.216136011113541</v>
      </c>
    </row>
    <row r="34" spans="1:6" ht="15.75" thickBot="1" x14ac:dyDescent="0.3">
      <c r="A34" s="18"/>
      <c r="B34" s="35"/>
      <c r="C34" s="35"/>
      <c r="D34" s="35"/>
      <c r="E34" s="36" t="s">
        <v>35</v>
      </c>
      <c r="F34" s="37">
        <f>SUM(F33:F33)</f>
        <v>21.216136011113541</v>
      </c>
    </row>
    <row r="35" spans="1:6" ht="15.75" thickBot="1" x14ac:dyDescent="0.3"/>
    <row r="36" spans="1:6" x14ac:dyDescent="0.25">
      <c r="A36" s="38" t="s">
        <v>36</v>
      </c>
      <c r="B36" s="39"/>
      <c r="C36" s="8"/>
      <c r="D36" s="8"/>
      <c r="E36" s="8"/>
      <c r="F36" s="9"/>
    </row>
    <row r="37" spans="1:6" x14ac:dyDescent="0.25">
      <c r="A37" s="13"/>
      <c r="B37" s="11"/>
      <c r="C37" s="11"/>
      <c r="D37" s="11"/>
      <c r="E37" s="11"/>
      <c r="F37" s="12"/>
    </row>
    <row r="38" spans="1:6" x14ac:dyDescent="0.25">
      <c r="A38" s="40" t="s">
        <v>22</v>
      </c>
      <c r="B38" s="24" t="s">
        <v>23</v>
      </c>
      <c r="C38" s="24" t="s">
        <v>24</v>
      </c>
      <c r="D38" s="24" t="s">
        <v>25</v>
      </c>
      <c r="E38" s="24" t="s">
        <v>26</v>
      </c>
      <c r="F38" s="41" t="s">
        <v>27</v>
      </c>
    </row>
    <row r="39" spans="1:6" x14ac:dyDescent="0.25">
      <c r="A39" s="42" t="s">
        <v>37</v>
      </c>
      <c r="B39" s="31" t="s">
        <v>38</v>
      </c>
      <c r="C39" s="31" t="s">
        <v>15</v>
      </c>
      <c r="D39" s="31">
        <v>1</v>
      </c>
      <c r="E39" s="31">
        <f>VLOOKUP(C39, $A$7:$B$11, 2, FALSE)</f>
        <v>10</v>
      </c>
      <c r="F39" s="43">
        <f>D39*E39</f>
        <v>10</v>
      </c>
    </row>
    <row r="40" spans="1:6" x14ac:dyDescent="0.25">
      <c r="A40" s="42" t="s">
        <v>37</v>
      </c>
      <c r="B40" s="31" t="s">
        <v>39</v>
      </c>
      <c r="C40" s="31" t="s">
        <v>15</v>
      </c>
      <c r="D40" s="31">
        <v>1</v>
      </c>
      <c r="E40" s="31">
        <f t="shared" ref="E40:E48" si="0">VLOOKUP(C40, $A$7:$B$11, 2, FALSE)</f>
        <v>10</v>
      </c>
      <c r="F40" s="43">
        <f t="shared" ref="F40:F49" si="1">D40*E40</f>
        <v>10</v>
      </c>
    </row>
    <row r="41" spans="1:6" x14ac:dyDescent="0.25">
      <c r="A41" s="42" t="s">
        <v>37</v>
      </c>
      <c r="B41" s="31" t="s">
        <v>40</v>
      </c>
      <c r="C41" s="31" t="s">
        <v>15</v>
      </c>
      <c r="D41" s="31">
        <v>1</v>
      </c>
      <c r="E41" s="31">
        <f t="shared" si="0"/>
        <v>10</v>
      </c>
      <c r="F41" s="43">
        <f t="shared" si="1"/>
        <v>10</v>
      </c>
    </row>
    <row r="42" spans="1:6" x14ac:dyDescent="0.25">
      <c r="A42" s="42" t="s">
        <v>37</v>
      </c>
      <c r="B42" s="31" t="s">
        <v>41</v>
      </c>
      <c r="C42" s="31" t="s">
        <v>15</v>
      </c>
      <c r="D42" s="31">
        <v>1</v>
      </c>
      <c r="E42" s="31">
        <f t="shared" si="0"/>
        <v>10</v>
      </c>
      <c r="F42" s="43">
        <f t="shared" si="1"/>
        <v>10</v>
      </c>
    </row>
    <row r="43" spans="1:6" x14ac:dyDescent="0.25">
      <c r="A43" s="42" t="s">
        <v>37</v>
      </c>
      <c r="B43" s="31" t="s">
        <v>42</v>
      </c>
      <c r="C43" s="31" t="s">
        <v>15</v>
      </c>
      <c r="D43" s="31">
        <v>1</v>
      </c>
      <c r="E43" s="31">
        <f t="shared" si="0"/>
        <v>10</v>
      </c>
      <c r="F43" s="43">
        <f t="shared" si="1"/>
        <v>10</v>
      </c>
    </row>
    <row r="44" spans="1:6" x14ac:dyDescent="0.25">
      <c r="A44" s="42" t="s">
        <v>37</v>
      </c>
      <c r="B44" s="31" t="s">
        <v>43</v>
      </c>
      <c r="C44" s="31" t="s">
        <v>15</v>
      </c>
      <c r="D44" s="31">
        <v>1</v>
      </c>
      <c r="E44" s="31">
        <f t="shared" si="0"/>
        <v>10</v>
      </c>
      <c r="F44" s="43">
        <f t="shared" si="1"/>
        <v>10</v>
      </c>
    </row>
    <row r="45" spans="1:6" x14ac:dyDescent="0.25">
      <c r="A45" s="42" t="s">
        <v>37</v>
      </c>
      <c r="B45" s="31" t="s">
        <v>44</v>
      </c>
      <c r="C45" s="31" t="s">
        <v>15</v>
      </c>
      <c r="D45" s="31">
        <v>1</v>
      </c>
      <c r="E45" s="31">
        <f t="shared" si="0"/>
        <v>10</v>
      </c>
      <c r="F45" s="43">
        <f t="shared" si="1"/>
        <v>10</v>
      </c>
    </row>
    <row r="46" spans="1:6" x14ac:dyDescent="0.25">
      <c r="A46" s="42" t="s">
        <v>37</v>
      </c>
      <c r="B46" s="31" t="s">
        <v>45</v>
      </c>
      <c r="C46" s="31" t="s">
        <v>14</v>
      </c>
      <c r="D46" s="31">
        <v>1</v>
      </c>
      <c r="E46" s="31">
        <f t="shared" si="0"/>
        <v>7.0710678118654782</v>
      </c>
      <c r="F46" s="43">
        <f t="shared" si="1"/>
        <v>7.0710678118654782</v>
      </c>
    </row>
    <row r="47" spans="1:6" x14ac:dyDescent="0.25">
      <c r="A47" s="42" t="s">
        <v>46</v>
      </c>
      <c r="B47" s="31" t="s">
        <v>47</v>
      </c>
      <c r="C47" s="31" t="s">
        <v>15</v>
      </c>
      <c r="D47" s="31">
        <v>1</v>
      </c>
      <c r="E47" s="31">
        <f t="shared" si="0"/>
        <v>10</v>
      </c>
      <c r="F47" s="43">
        <f t="shared" si="1"/>
        <v>10</v>
      </c>
    </row>
    <row r="48" spans="1:6" x14ac:dyDescent="0.25">
      <c r="A48" s="42" t="s">
        <v>46</v>
      </c>
      <c r="B48" s="31" t="s">
        <v>48</v>
      </c>
      <c r="C48" s="31" t="s">
        <v>15</v>
      </c>
      <c r="D48" s="31">
        <v>1</v>
      </c>
      <c r="E48" s="31">
        <f t="shared" si="0"/>
        <v>10</v>
      </c>
      <c r="F48" s="43">
        <f t="shared" si="1"/>
        <v>10</v>
      </c>
    </row>
    <row r="49" spans="1:6" x14ac:dyDescent="0.25">
      <c r="A49" s="42"/>
      <c r="B49" s="31"/>
      <c r="C49" s="31"/>
      <c r="D49" s="31">
        <v>1</v>
      </c>
      <c r="E49" s="31"/>
      <c r="F49" s="43">
        <f t="shared" si="1"/>
        <v>0</v>
      </c>
    </row>
    <row r="50" spans="1:6" ht="15.75" thickBot="1" x14ac:dyDescent="0.3">
      <c r="A50" s="18"/>
      <c r="B50" s="35"/>
      <c r="C50" s="35"/>
      <c r="D50" s="35"/>
      <c r="E50" s="36" t="s">
        <v>49</v>
      </c>
      <c r="F50" s="37">
        <f>SUM(F39:F49)</f>
        <v>97.071067811865476</v>
      </c>
    </row>
    <row r="52" spans="1:6" ht="15.75" thickBot="1" x14ac:dyDescent="0.3"/>
    <row r="53" spans="1:6" ht="15.75" thickBot="1" x14ac:dyDescent="0.3">
      <c r="E53" s="44" t="s">
        <v>50</v>
      </c>
      <c r="F53" s="45">
        <f>F50+F34+F28</f>
        <v>129.26302637249859</v>
      </c>
    </row>
  </sheetData>
  <mergeCells count="4">
    <mergeCell ref="A3:B3"/>
    <mergeCell ref="A23:B23"/>
    <mergeCell ref="A30:B30"/>
    <mergeCell ref="A36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ROLDAN VIVANCO DIEGO NOE</dc:creator>
  <cp:lastModifiedBy>ROLDAN VIVANCO DIEGO NOE</cp:lastModifiedBy>
  <dcterms:created xsi:type="dcterms:W3CDTF">2025-11-28T22:26:16Z</dcterms:created>
  <dcterms:modified xsi:type="dcterms:W3CDTF">2025-11-28T22:31:56Z</dcterms:modified>
</cp:coreProperties>
</file>